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823da780a74d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nthly Expenses" sheetId="1" r:id="R9d5bc9c6ca054f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-mmm-yyyy"/>
    <x:numFmt numFmtId="201" formatCode="₹#,##0.00"/>
    <x:numFmt numFmtId="202" formatCode="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D9EAD3"/>
      </x:patternFill>
    </x:fill>
    <x:fill>
      <x:patternFill patternType="solid">
        <x:fgColor rgb="FFFFF2CC"/>
      </x:patternFill>
    </x:fill>
  </x:fills>
  <x:borders count="16">
    <x:border/>
    <x:border/>
    <x:border>
      <x:bottom/>
    </x:border>
    <x:border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</x:borders>
  <x:cellStyleXfs count="1">
    <x:xf numFmtId="0" fontId="0" fillId="0" borderId="0"/>
  </x:cellStyleXfs>
  <x:cellXfs count="5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2" fillId="3" borderId="2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horizontal="center"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horizontal="center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2" fillId="4" borderId="4" xfId="0" applyNumberFormat="1" applyFont="1" applyFill="1" applyBorder="1" applyAlignment="1">
      <x:alignment horizontal="center"/>
    </x:xf>
    <x:xf numFmtId="0" fontId="2" fillId="4" borderId="5" xfId="0" applyNumberFormat="1" applyFont="1" applyFill="1" applyBorder="1" applyAlignment="1">
      <x:alignment horizontal="center"/>
    </x:xf>
    <x:xf numFmtId="0" fontId="0" fillId="0" borderId="6" xfId="0" applyNumberFormat="1" applyFont="1" applyFill="1" applyBorder="1"/>
    <x:xf numFmtId="201" fontId="0" fillId="0" borderId="7" xfId="0" applyNumberFormat="1" applyFont="1" applyFill="1" applyBorder="1"/>
    <x:xf numFmtId="0" fontId="0" fillId="0" borderId="8" xfId="0" applyNumberFormat="1" applyFont="1" applyFill="1" applyBorder="1"/>
    <x:xf numFmtId="202" fontId="0" fillId="0" borderId="9" xfId="0" applyNumberFormat="1" applyFont="1" applyFill="1" applyBorder="1"/>
    <x:xf numFmtId="0" fontId="2" fillId="4" borderId="10" xfId="0" applyNumberFormat="1" applyFont="1" applyFill="1" applyBorder="1" applyAlignment="1">
      <x:alignment horizontal="center"/>
    </x:xf>
    <x:xf numFmtId="0" fontId="2" fillId="4" borderId="11" xfId="0" applyNumberFormat="1" applyFont="1" applyFill="1" applyBorder="1" applyAlignment="1">
      <x:alignment horizontal="center"/>
    </x:xf>
    <x:xf numFmtId="0" fontId="0" fillId="0" borderId="12" xfId="0" applyNumberFormat="1" applyFont="1" applyFill="1" applyBorder="1"/>
    <x:xf numFmtId="201" fontId="0" fillId="0" borderId="13" xfId="0" applyNumberFormat="1" applyFont="1" applyFill="1" applyBorder="1"/>
    <x:xf numFmtId="0" fontId="0" fillId="0" borderId="14" xfId="0" applyNumberFormat="1" applyFont="1" applyFill="1" applyBorder="1"/>
    <x:xf numFmtId="202" fontId="0" fillId="0" borderId="15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a5426f492b4c0f" /><Relationship Type="http://schemas.openxmlformats.org/officeDocument/2006/relationships/theme" Target="/xl/theme/theme1.xml" Id="Rb00faa88012049c7" /><Relationship Type="http://schemas.openxmlformats.org/officeDocument/2006/relationships/sharedStrings" Target="/xl/sharedStrings.xml" Id="Rfdd5c4ebd4694249" /><Relationship Type="http://schemas.openxmlformats.org/officeDocument/2006/relationships/worksheet" Target="/xl/worksheets/sheet1.xml" Id="R9d5bc9c6ca054f72" /></Relationships>
</file>

<file path=xl/tables/table1.xml><?xml version="1.0" encoding="utf-8"?>
<x:table xmlns:x="http://schemas.openxmlformats.org/spreadsheetml/2006/main" id="1" name="ExpenseTable" displayName="ExpenseTable" ref="A3:D18" headerRowCount="1" totalsRowCount="0" totalsRowShown="0">
  <x:tableColumns count="4">
    <x:tableColumn id="1" name="Date"/>
    <x:tableColumn id="2" name="Category"/>
    <x:tableColumn id="3" name="Description"/>
    <x:tableColumn id="4" name="Amou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27fad6cee88431a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0" hidden="0" customWidth="1"/>
    <x:col min="4" max="4" width="14" hidden="0" customWidth="1"/>
    <x:col min="6" max="6" width="18" hidden="0" customWidth="1"/>
    <x:col min="7" max="7" width="16" hidden="0" customWidth="1"/>
    <x:col min="8" max="8" width="18" hidden="0" customWidth="1"/>
  </x:cols>
  <x:sheetData>
    <x:row r="1" ht="24" customHeight="1">
      <x:c r="A1" s="5" t="str">
        <x:v>Monthly Expense Tracker - Beginner Version</x:v>
      </x:c>
      <x:c r="B1" s="5"/>
      <x:c r="C1" s="5"/>
      <x:c r="D1" s="5"/>
      <x:c r="E1" s="5"/>
      <x:c r="F1" s="5"/>
      <x:c r="G1" s="5"/>
      <x:c r="H1" s="5"/>
    </x:row>
    <x:row r="3">
      <x:c r="A3" s="22" t="str">
        <x:v>Date</x:v>
      </x:c>
      <x:c r="B3" s="22" t="str">
        <x:v>Category</x:v>
      </x:c>
      <x:c r="C3" s="22" t="str">
        <x:v>Description</x:v>
      </x:c>
      <x:c r="D3" s="22" t="str">
        <x:v>Amount</x:v>
      </x:c>
      <x:c r="F3" s="38" t="str">
        <x:v>Summary</x:v>
      </x:c>
      <x:c r="G3" s="39" t="str">
        <x:v>Value</x:v>
      </x:c>
    </x:row>
    <x:row r="4">
      <x:c r="A4" s="23" t="n">
        <x:v>46266</x:v>
      </x:c>
      <x:c r="B4" s="24" t="str">
        <x:v>Food</x:v>
      </x:c>
      <x:c r="C4" s="24" t="str">
        <x:v>Breakfast</x:v>
      </x:c>
      <x:c r="D4" s="25" t="n">
        <x:v>120</x:v>
      </x:c>
      <x:c r="F4" s="40" t="str">
        <x:v>Total Expense</x:v>
      </x:c>
      <x:c r="G4" s="41" t="n">
        <x:f>SUM(D4:D18)</x:f>
        <x:v>4908</x:v>
      </x:c>
    </x:row>
    <x:row r="5">
      <x:c r="A5" s="23" t="n">
        <x:v>46267</x:v>
      </x:c>
      <x:c r="B5" s="24" t="str">
        <x:v>Travel</x:v>
      </x:c>
      <x:c r="C5" s="24" t="str">
        <x:v>Auto fare</x:v>
      </x:c>
      <x:c r="D5" s="25" t="n">
        <x:v>180</x:v>
      </x:c>
      <x:c r="F5" s="40" t="str">
        <x:v>Average Expense</x:v>
      </x:c>
      <x:c r="G5" s="41" t="n">
        <x:f>AVERAGE(D4:D18)</x:f>
        <x:v>327.2</x:v>
      </x:c>
    </x:row>
    <x:row r="6">
      <x:c r="A6" s="23" t="n">
        <x:v>46268</x:v>
      </x:c>
      <x:c r="B6" s="24" t="str">
        <x:v>Shopping</x:v>
      </x:c>
      <x:c r="C6" s="24" t="str">
        <x:v>Notebook</x:v>
      </x:c>
      <x:c r="D6" s="25" t="n">
        <x:v>250</x:v>
      </x:c>
      <x:c r="F6" s="40" t="str">
        <x:v>Highest Expense</x:v>
      </x:c>
      <x:c r="G6" s="41" t="n">
        <x:f>MAX(D4:D18)</x:f>
        <x:v>950</x:v>
      </x:c>
    </x:row>
    <x:row r="7">
      <x:c r="A7" s="23" t="n">
        <x:v>46269</x:v>
      </x:c>
      <x:c r="B7" s="24" t="str">
        <x:v>Bills</x:v>
      </x:c>
      <x:c r="C7" s="24" t="str">
        <x:v>Mobile recharge</x:v>
      </x:c>
      <x:c r="D7" s="25" t="n">
        <x:v>299</x:v>
      </x:c>
      <x:c r="F7" s="40" t="str">
        <x:v>Lowest Expense</x:v>
      </x:c>
      <x:c r="G7" s="41" t="n">
        <x:f>MIN(D4:D18)</x:f>
        <x:v>80</x:v>
      </x:c>
    </x:row>
    <x:row r="8">
      <x:c r="A8" s="23" t="n">
        <x:v>46270</x:v>
      </x:c>
      <x:c r="B8" s="24" t="str">
        <x:v>Food</x:v>
      </x:c>
      <x:c r="C8" s="24" t="str">
        <x:v>Lunch</x:v>
      </x:c>
      <x:c r="D8" s="25" t="n">
        <x:v>220</x:v>
      </x:c>
      <x:c r="F8" s="42" t="str">
        <x:v>Food Entries</x:v>
      </x:c>
      <x:c r="G8" s="43" t="n">
        <x:f>COUNTIF(B4:B18,"Food")</x:f>
        <x:v>5</x:v>
      </x:c>
    </x:row>
    <x:row r="9">
      <x:c r="A9" s="23" t="n">
        <x:v>46271</x:v>
      </x:c>
      <x:c r="B9" s="24" t="str">
        <x:v>Travel</x:v>
      </x:c>
      <x:c r="C9" s="24" t="str">
        <x:v>Bus pass</x:v>
      </x:c>
      <x:c r="D9" s="25" t="n">
        <x:v>450</x:v>
      </x:c>
    </x:row>
    <x:row r="10">
      <x:c r="A10" s="23" t="n">
        <x:v>46272</x:v>
      </x:c>
      <x:c r="B10" s="24" t="str">
        <x:v>Shopping</x:v>
      </x:c>
      <x:c r="C10" s="24" t="str">
        <x:v>Pen set</x:v>
      </x:c>
      <x:c r="D10" s="25" t="n">
        <x:v>90</x:v>
      </x:c>
      <x:c r="F10" s="52" t="str">
        <x:v>What to Practice</x:v>
      </x:c>
      <x:c r="G10" s="52"/>
      <x:c r="H10" s="52"/>
    </x:row>
    <x:row r="11">
      <x:c r="A11" s="23" t="n">
        <x:v>46273</x:v>
      </x:c>
      <x:c r="B11" s="24" t="str">
        <x:v>Food</x:v>
      </x:c>
      <x:c r="C11" s="24" t="str">
        <x:v>Snacks</x:v>
      </x:c>
      <x:c r="D11" s="25" t="n">
        <x:v>80</x:v>
      </x:c>
      <x:c r="F11" t="str">
        <x:v>1.</x:v>
      </x:c>
      <x:c r="G11" t="str">
        <x:v>Sort Amount</x:v>
      </x:c>
      <x:c r="H11" t="str">
        <x:v>Highest to Lowest</x:v>
      </x:c>
    </x:row>
    <x:row r="12">
      <x:c r="A12" s="23" t="n">
        <x:v>46274</x:v>
      </x:c>
      <x:c r="B12" s="24" t="str">
        <x:v>Bills</x:v>
      </x:c>
      <x:c r="C12" s="24" t="str">
        <x:v>Electricity</x:v>
      </x:c>
      <x:c r="D12" s="25" t="n">
        <x:v>950</x:v>
      </x:c>
      <x:c r="F12" t="str">
        <x:v>2.</x:v>
      </x:c>
      <x:c r="G12" t="str">
        <x:v>Filter Category</x:v>
      </x:c>
      <x:c r="H12" t="str">
        <x:v>Try Food only</x:v>
      </x:c>
    </x:row>
    <x:row r="13">
      <x:c r="A13" s="23" t="n">
        <x:v>46275</x:v>
      </x:c>
      <x:c r="B13" s="24" t="str">
        <x:v>Travel</x:v>
      </x:c>
      <x:c r="C13" s="24" t="str">
        <x:v>Cab</x:v>
      </x:c>
      <x:c r="D13" s="25" t="n">
        <x:v>320</x:v>
      </x:c>
      <x:c r="F13" t="str">
        <x:v>3.</x:v>
      </x:c>
      <x:c r="G13" t="str">
        <x:v>Formula</x:v>
      </x:c>
      <x:c r="H13" t="str">
        <x:v>SUM</x:v>
      </x:c>
    </x:row>
    <x:row r="14">
      <x:c r="A14" s="23" t="n">
        <x:v>46276</x:v>
      </x:c>
      <x:c r="B14" s="24" t="str">
        <x:v>Food</x:v>
      </x:c>
      <x:c r="C14" s="24" t="str">
        <x:v>Dinner</x:v>
      </x:c>
      <x:c r="D14" s="25" t="n">
        <x:v>300</x:v>
      </x:c>
      <x:c r="F14" t="str">
        <x:v>4.</x:v>
      </x:c>
      <x:c r="G14" t="str">
        <x:v>Formula</x:v>
      </x:c>
      <x:c r="H14" t="str">
        <x:v>AVERAGE</x:v>
      </x:c>
    </x:row>
    <x:row r="15">
      <x:c r="A15" s="23" t="n">
        <x:v>46277</x:v>
      </x:c>
      <x:c r="B15" s="24" t="str">
        <x:v>Shopping</x:v>
      </x:c>
      <x:c r="C15" s="24" t="str">
        <x:v>Bag</x:v>
      </x:c>
      <x:c r="D15" s="25" t="n">
        <x:v>700</x:v>
      </x:c>
      <x:c r="F15" t="str">
        <x:v>5.</x:v>
      </x:c>
      <x:c r="G15" t="str">
        <x:v>Formula</x:v>
      </x:c>
      <x:c r="H15" t="str">
        <x:v>MAX / MIN</x:v>
      </x:c>
    </x:row>
    <x:row r="16">
      <x:c r="A16" s="23" t="n">
        <x:v>46278</x:v>
      </x:c>
      <x:c r="B16" s="24" t="str">
        <x:v>Bills</x:v>
      </x:c>
      <x:c r="C16" s="24" t="str">
        <x:v>Internet</x:v>
      </x:c>
      <x:c r="D16" s="25" t="n">
        <x:v>599</x:v>
      </x:c>
      <x:c r="F16" t="str">
        <x:v>6.</x:v>
      </x:c>
      <x:c r="G16" t="str">
        <x:v>Formula</x:v>
      </x:c>
      <x:c r="H16" t="str">
        <x:v>COUNTIF</x:v>
      </x:c>
    </x:row>
    <x:row r="17">
      <x:c r="A17" s="23" t="n">
        <x:v>46279</x:v>
      </x:c>
      <x:c r="B17" s="24" t="str">
        <x:v>Food</x:v>
      </x:c>
      <x:c r="C17" s="24" t="str">
        <x:v>Coffee</x:v>
      </x:c>
      <x:c r="D17" s="25" t="n">
        <x:v>150</x:v>
      </x:c>
    </x:row>
    <x:row r="18">
      <x:c r="A18" s="23" t="n">
        <x:v>46280</x:v>
      </x:c>
      <x:c r="B18" s="24" t="str">
        <x:v>Travel</x:v>
      </x:c>
      <x:c r="C18" s="24" t="str">
        <x:v>Metro</x:v>
      </x:c>
      <x:c r="D18" s="25" t="n">
        <x:v>200</x:v>
      </x:c>
    </x:row>
  </x:sheetData>
  <x:mergeCells>
    <x:mergeCell ref="A1:H1"/>
    <x:mergeCell ref="F10:H10"/>
  </x:mergeCells>
  <x:conditionalFormatting sqref="D4:D18">
    <x:cfRule type="dataBar" priority="1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{D499B933-DC37-EE5A-8B0D-D99E0CD10AF8}</x14:id>
        </x:ext>
      </x:extLst>
    </x:cfRule>
  </x:conditionalFormatting>
  <x:dataValidations count="1">
    <x:dataValidation type="list" sqref="B4:B100">
      <x:formula1>"Food,Travel,Shopping,Bills"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27fad6cee88431a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D499B933-DC37-EE5A-8B0D-D99E0CD10AF8}">
            <x14:dataBar gradient="1">
              <x14:cfvo type="min"/>
              <x14:cfvo type="max"/>
              <x14:fillColor rgb="FF5B9BD5"/>
            </x14:dataBar>
          </x14:cfRule>
          <xm:sqref>D4:D18</xm:sqref>
        </x14:conditionalFormatting>
      </x14:conditionalFormattings>
    </x:ext>
  </x:extLst>
</x:worksheet>
</file>